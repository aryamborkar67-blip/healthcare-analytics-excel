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FAB34F5B660C91/Pictures/Documents/"/>
    </mc:Choice>
  </mc:AlternateContent>
  <xr:revisionPtr revIDLastSave="0" documentId="8_{55285E94-E439-4A98-B9FF-4F0B0C4273DB}" xr6:coauthVersionLast="47" xr6:coauthVersionMax="47" xr10:uidLastSave="{00000000-0000-0000-0000-000000000000}"/>
  <bookViews>
    <workbookView xWindow="-96" yWindow="0" windowWidth="11712" windowHeight="12336" xr2:uid="{56777022-06D9-4A9F-B99C-B071849F2D54}"/>
  </bookViews>
  <sheets>
    <sheet name="Patient_Data" sheetId="1" r:id="rId1"/>
    <sheet name="Execution_Dashboar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  <c r="B6" i="2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</calcChain>
</file>

<file path=xl/sharedStrings.xml><?xml version="1.0" encoding="utf-8"?>
<sst xmlns="http://schemas.openxmlformats.org/spreadsheetml/2006/main" count="31" uniqueCount="14">
  <si>
    <t>Patient_id</t>
  </si>
  <si>
    <t>Age</t>
  </si>
  <si>
    <t>Blood Sugar (mg/dL)</t>
  </si>
  <si>
    <t>Admission Date</t>
  </si>
  <si>
    <t>Discharge Date</t>
  </si>
  <si>
    <t>Length of Stay (Days)</t>
  </si>
  <si>
    <t>Department</t>
  </si>
  <si>
    <t>Billing Amount (₹)</t>
  </si>
  <si>
    <t>Health Risk Status</t>
  </si>
  <si>
    <t>ICU</t>
  </si>
  <si>
    <t>General</t>
  </si>
  <si>
    <t>Pediatrics</t>
  </si>
  <si>
    <t>Average Patient Stay (Days)</t>
  </si>
  <si>
    <t>Total Hospital Revenue (₹)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</si>
</sst>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&quot;₹&quot;\ #,##0.00"/>
  </numFmts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/>
    <xf numFmtId="0" fontId="0" fillId="0" borderId="0" xfId="0" applyAlignment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169" fontId="0" fillId="3" borderId="0" xfId="0" applyNumberFormat="1" applyFill="1" applyAlignment="1">
      <alignment horizontal="center"/>
    </xf>
    <xf numFmtId="0" fontId="0" fillId="5" borderId="1" xfId="0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14" fontId="2" fillId="5" borderId="1" xfId="0" applyNumberFormat="1" applyFont="1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169" fontId="2" fillId="5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Patient_Data!$H$1</c:f>
              <c:strCache>
                <c:ptCount val="1"/>
                <c:pt idx="0">
                  <c:v>Billing Amount (₹)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Patient_Data!$G$2:$G$21</c:f>
              <c:strCache>
                <c:ptCount val="20"/>
                <c:pt idx="0">
                  <c:v>ICU</c:v>
                </c:pt>
                <c:pt idx="1">
                  <c:v>General</c:v>
                </c:pt>
                <c:pt idx="2">
                  <c:v>Pediatrics</c:v>
                </c:pt>
                <c:pt idx="3">
                  <c:v>Pediatrics</c:v>
                </c:pt>
                <c:pt idx="4">
                  <c:v>General</c:v>
                </c:pt>
                <c:pt idx="5">
                  <c:v>General</c:v>
                </c:pt>
                <c:pt idx="6">
                  <c:v>ICU</c:v>
                </c:pt>
                <c:pt idx="7">
                  <c:v>ICU</c:v>
                </c:pt>
                <c:pt idx="8">
                  <c:v>Pediatrics</c:v>
                </c:pt>
                <c:pt idx="9">
                  <c:v>General</c:v>
                </c:pt>
                <c:pt idx="10">
                  <c:v>ICU</c:v>
                </c:pt>
                <c:pt idx="11">
                  <c:v>Pediatrics</c:v>
                </c:pt>
                <c:pt idx="12">
                  <c:v>General</c:v>
                </c:pt>
                <c:pt idx="13">
                  <c:v>General</c:v>
                </c:pt>
                <c:pt idx="14">
                  <c:v>ICU</c:v>
                </c:pt>
                <c:pt idx="15">
                  <c:v>Pediatrics</c:v>
                </c:pt>
                <c:pt idx="16">
                  <c:v>General</c:v>
                </c:pt>
                <c:pt idx="17">
                  <c:v>ICU</c:v>
                </c:pt>
                <c:pt idx="18">
                  <c:v>General</c:v>
                </c:pt>
                <c:pt idx="19">
                  <c:v>Pediatrics</c:v>
                </c:pt>
              </c:strCache>
            </c:strRef>
          </c:cat>
          <c:val>
            <c:numRef>
              <c:f>Patient_Data!$H$2:$H$21</c:f>
              <c:numCache>
                <c:formatCode>"₹"\ #,##0.00</c:formatCode>
                <c:ptCount val="20"/>
                <c:pt idx="0">
                  <c:v>34220</c:v>
                </c:pt>
                <c:pt idx="1">
                  <c:v>39375</c:v>
                </c:pt>
                <c:pt idx="2">
                  <c:v>73729</c:v>
                </c:pt>
                <c:pt idx="3">
                  <c:v>10886</c:v>
                </c:pt>
                <c:pt idx="4">
                  <c:v>5576</c:v>
                </c:pt>
                <c:pt idx="5">
                  <c:v>19427</c:v>
                </c:pt>
                <c:pt idx="6">
                  <c:v>30849</c:v>
                </c:pt>
                <c:pt idx="7">
                  <c:v>34768</c:v>
                </c:pt>
                <c:pt idx="8">
                  <c:v>57420</c:v>
                </c:pt>
                <c:pt idx="9">
                  <c:v>16947</c:v>
                </c:pt>
                <c:pt idx="10">
                  <c:v>62139</c:v>
                </c:pt>
                <c:pt idx="11">
                  <c:v>12315</c:v>
                </c:pt>
                <c:pt idx="12">
                  <c:v>69573</c:v>
                </c:pt>
                <c:pt idx="13">
                  <c:v>24019</c:v>
                </c:pt>
                <c:pt idx="14">
                  <c:v>12285</c:v>
                </c:pt>
                <c:pt idx="15">
                  <c:v>31045</c:v>
                </c:pt>
                <c:pt idx="16">
                  <c:v>62291</c:v>
                </c:pt>
                <c:pt idx="17">
                  <c:v>73381</c:v>
                </c:pt>
                <c:pt idx="18">
                  <c:v>71864</c:v>
                </c:pt>
                <c:pt idx="19">
                  <c:v>46584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D-4E6D-AE4A-8A09C1BB0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76807760"/>
        <c:axId val="1676812560"/>
      </c:barChart>
      <c:catAx>
        <c:axId val="1676807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812560"/>
        <c:crosses val="autoZero"/>
        <c:auto val="1"/>
        <c:lblAlgn val="ctr"/>
        <c:lblOffset val="100"/>
        <c:noMultiLvlLbl val="0"/>
      </c:catAx>
      <c:valAx>
        <c:axId val="1676812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807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424355</xdr:colOff>
      <xdr:row>8</xdr:row>
      <xdr:rowOff>81192</xdr:rowOff>
    </xdr:from>
    <xdr:to>
      <xdr:col>5</xdr:col>
      <xdr:colOff>675815</xdr:colOff>
      <xdr:row>23</xdr:row>
      <xdr:rowOff>81192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E851AA-5D36-2443-09F9-32256D1516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74277-C71E-4BF7-ABC1-03C9E68AFAF8}">
  <dimension ref="A1:I29"/>
  <sheetViews>
    <sheetView tabSelected="1" zoomScale="101" zoomScaleNormal="58" workbookViewId="0">
      <selection activeCell="F27" sqref="F27"/>
    </sheetView>
  </sheetViews>
  <sheetFormatPr defaultColWidth="15.5546875" defaultRowHeight="14.4"/>
  <cols>
    <col min="1" max="2" width="15.5546875" style="2"/>
    <col min="3" max="3" width="20.5546875" style="2" customWidth="1"/>
    <col min="4" max="5" width="15.5546875" style="2"/>
    <col min="6" max="6" width="19.21875" style="2" customWidth="1"/>
    <col min="7" max="7" width="15.5546875" style="2"/>
    <col min="8" max="8" width="16.88671875" style="2" customWidth="1"/>
    <col min="9" max="9" width="17.21875" style="2" customWidth="1"/>
    <col min="10" max="16384" width="15.5546875" style="2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7">
        <v>1001</v>
      </c>
      <c r="B2" s="7">
        <v>68</v>
      </c>
      <c r="C2" s="8">
        <v>73</v>
      </c>
      <c r="D2" s="9">
        <v>46024</v>
      </c>
      <c r="E2" s="10">
        <v>46031</v>
      </c>
      <c r="F2" s="7">
        <f>E2-D2</f>
        <v>7</v>
      </c>
      <c r="G2" s="7" t="s">
        <v>9</v>
      </c>
      <c r="H2" s="11">
        <v>34220</v>
      </c>
      <c r="I2" s="7" t="str">
        <f>IF(C2&gt;140, "HIGH RISK", "Normal")</f>
        <v>Normal</v>
      </c>
    </row>
    <row r="3" spans="1:9">
      <c r="A3" s="7">
        <v>1002</v>
      </c>
      <c r="B3" s="7">
        <v>39</v>
      </c>
      <c r="C3" s="8">
        <v>171</v>
      </c>
      <c r="D3" s="9">
        <v>46034</v>
      </c>
      <c r="E3" s="10">
        <v>46037</v>
      </c>
      <c r="F3" s="7">
        <f t="shared" ref="F3:F21" si="0">E3-D3</f>
        <v>3</v>
      </c>
      <c r="G3" s="7" t="s">
        <v>10</v>
      </c>
      <c r="H3" s="11">
        <v>39375</v>
      </c>
      <c r="I3" s="7" t="str">
        <f t="shared" ref="I3:I21" si="1">IF(C3&gt;140, "HIGH RISK", "Normal")</f>
        <v>HIGH RISK</v>
      </c>
    </row>
    <row r="4" spans="1:9">
      <c r="A4" s="7">
        <v>1003</v>
      </c>
      <c r="B4" s="7">
        <v>32</v>
      </c>
      <c r="C4" s="8">
        <v>163</v>
      </c>
      <c r="D4" s="9">
        <v>46043</v>
      </c>
      <c r="E4" s="10">
        <v>46049</v>
      </c>
      <c r="F4" s="7">
        <f t="shared" si="0"/>
        <v>6</v>
      </c>
      <c r="G4" s="7" t="s">
        <v>11</v>
      </c>
      <c r="H4" s="11">
        <v>73729</v>
      </c>
      <c r="I4" s="7" t="str">
        <f t="shared" si="1"/>
        <v>HIGH RISK</v>
      </c>
    </row>
    <row r="5" spans="1:9">
      <c r="A5" s="7">
        <v>1004</v>
      </c>
      <c r="B5" s="7">
        <v>84</v>
      </c>
      <c r="C5" s="8">
        <v>216</v>
      </c>
      <c r="D5" s="9">
        <v>46042</v>
      </c>
      <c r="E5" s="10">
        <v>46048</v>
      </c>
      <c r="F5" s="7">
        <f t="shared" si="0"/>
        <v>6</v>
      </c>
      <c r="G5" s="7" t="s">
        <v>11</v>
      </c>
      <c r="H5" s="11">
        <v>10886</v>
      </c>
      <c r="I5" s="7" t="str">
        <f t="shared" si="1"/>
        <v>HIGH RISK</v>
      </c>
    </row>
    <row r="6" spans="1:9">
      <c r="A6" s="7">
        <v>1005</v>
      </c>
      <c r="B6" s="7">
        <v>44</v>
      </c>
      <c r="C6" s="8">
        <v>96</v>
      </c>
      <c r="D6" s="9">
        <v>46026</v>
      </c>
      <c r="E6" s="10">
        <v>46037</v>
      </c>
      <c r="F6" s="7">
        <f t="shared" si="0"/>
        <v>11</v>
      </c>
      <c r="G6" s="7" t="s">
        <v>10</v>
      </c>
      <c r="H6" s="11">
        <v>5576</v>
      </c>
      <c r="I6" s="7" t="str">
        <f t="shared" si="1"/>
        <v>Normal</v>
      </c>
    </row>
    <row r="7" spans="1:9">
      <c r="A7" s="7">
        <v>1006</v>
      </c>
      <c r="B7" s="7">
        <v>55</v>
      </c>
      <c r="C7" s="8">
        <v>72</v>
      </c>
      <c r="D7" s="9">
        <v>46035</v>
      </c>
      <c r="E7" s="10">
        <v>46040</v>
      </c>
      <c r="F7" s="7">
        <f t="shared" si="0"/>
        <v>5</v>
      </c>
      <c r="G7" s="7" t="s">
        <v>10</v>
      </c>
      <c r="H7" s="11">
        <v>19427</v>
      </c>
      <c r="I7" s="7" t="str">
        <f t="shared" si="1"/>
        <v>Normal</v>
      </c>
    </row>
    <row r="8" spans="1:9">
      <c r="A8" s="7">
        <v>1007</v>
      </c>
      <c r="B8" s="7">
        <v>60</v>
      </c>
      <c r="C8" s="8">
        <v>116</v>
      </c>
      <c r="D8" s="9">
        <v>46041</v>
      </c>
      <c r="E8" s="10">
        <v>46043</v>
      </c>
      <c r="F8" s="7">
        <f t="shared" si="0"/>
        <v>2</v>
      </c>
      <c r="G8" s="7" t="s">
        <v>9</v>
      </c>
      <c r="H8" s="11">
        <v>30849</v>
      </c>
      <c r="I8" s="7" t="str">
        <f t="shared" si="1"/>
        <v>Normal</v>
      </c>
    </row>
    <row r="9" spans="1:9">
      <c r="A9" s="7">
        <v>1008</v>
      </c>
      <c r="B9" s="7">
        <v>51</v>
      </c>
      <c r="C9" s="8">
        <v>244</v>
      </c>
      <c r="D9" s="9">
        <v>46038</v>
      </c>
      <c r="E9" s="10">
        <v>46045</v>
      </c>
      <c r="F9" s="7">
        <f t="shared" si="0"/>
        <v>7</v>
      </c>
      <c r="G9" s="7" t="s">
        <v>9</v>
      </c>
      <c r="H9" s="11">
        <v>34768</v>
      </c>
      <c r="I9" s="7" t="str">
        <f t="shared" si="1"/>
        <v>HIGH RISK</v>
      </c>
    </row>
    <row r="10" spans="1:9">
      <c r="A10" s="7">
        <v>1009</v>
      </c>
      <c r="B10" s="7">
        <v>74</v>
      </c>
      <c r="C10" s="8">
        <v>105</v>
      </c>
      <c r="D10" s="9">
        <v>46037</v>
      </c>
      <c r="E10" s="10">
        <v>46039</v>
      </c>
      <c r="F10" s="7">
        <f t="shared" si="0"/>
        <v>2</v>
      </c>
      <c r="G10" s="7" t="s">
        <v>11</v>
      </c>
      <c r="H10" s="11">
        <v>57420</v>
      </c>
      <c r="I10" s="7" t="str">
        <f t="shared" si="1"/>
        <v>Normal</v>
      </c>
    </row>
    <row r="11" spans="1:9">
      <c r="A11" s="7">
        <v>1010</v>
      </c>
      <c r="B11" s="7">
        <v>64</v>
      </c>
      <c r="C11" s="8">
        <v>219</v>
      </c>
      <c r="D11" s="9">
        <v>46032</v>
      </c>
      <c r="E11" s="10">
        <v>46041</v>
      </c>
      <c r="F11" s="7">
        <f t="shared" si="0"/>
        <v>9</v>
      </c>
      <c r="G11" s="7" t="s">
        <v>10</v>
      </c>
      <c r="H11" s="11">
        <v>16947</v>
      </c>
      <c r="I11" s="7" t="str">
        <f t="shared" si="1"/>
        <v>HIGH RISK</v>
      </c>
    </row>
    <row r="12" spans="1:9">
      <c r="A12" s="7">
        <v>1011</v>
      </c>
      <c r="B12" s="7">
        <v>61</v>
      </c>
      <c r="C12" s="8">
        <v>131</v>
      </c>
      <c r="D12" s="9">
        <v>46034</v>
      </c>
      <c r="E12" s="10">
        <v>46041</v>
      </c>
      <c r="F12" s="7">
        <f t="shared" si="0"/>
        <v>7</v>
      </c>
      <c r="G12" s="7" t="s">
        <v>9</v>
      </c>
      <c r="H12" s="11">
        <v>62139</v>
      </c>
      <c r="I12" s="7" t="str">
        <f t="shared" si="1"/>
        <v>Normal</v>
      </c>
    </row>
    <row r="13" spans="1:9">
      <c r="A13" s="7">
        <v>1012</v>
      </c>
      <c r="B13" s="7">
        <v>18</v>
      </c>
      <c r="C13" s="8">
        <v>94</v>
      </c>
      <c r="D13" s="9">
        <v>46027</v>
      </c>
      <c r="E13" s="10">
        <v>46031</v>
      </c>
      <c r="F13" s="7">
        <f t="shared" si="0"/>
        <v>4</v>
      </c>
      <c r="G13" s="7" t="s">
        <v>11</v>
      </c>
      <c r="H13" s="11">
        <v>12315</v>
      </c>
      <c r="I13" s="7" t="str">
        <f t="shared" si="1"/>
        <v>Normal</v>
      </c>
    </row>
    <row r="14" spans="1:9">
      <c r="A14" s="7">
        <v>1013</v>
      </c>
      <c r="B14" s="7">
        <v>33</v>
      </c>
      <c r="C14" s="8">
        <v>148</v>
      </c>
      <c r="D14" s="9">
        <v>46037</v>
      </c>
      <c r="E14" s="10">
        <v>46042</v>
      </c>
      <c r="F14" s="7">
        <f t="shared" si="0"/>
        <v>5</v>
      </c>
      <c r="G14" s="7" t="s">
        <v>10</v>
      </c>
      <c r="H14" s="11">
        <v>69573</v>
      </c>
      <c r="I14" s="7" t="str">
        <f t="shared" si="1"/>
        <v>HIGH RISK</v>
      </c>
    </row>
    <row r="15" spans="1:9">
      <c r="A15" s="7">
        <v>1014</v>
      </c>
      <c r="B15" s="7">
        <v>45</v>
      </c>
      <c r="C15" s="8">
        <v>123</v>
      </c>
      <c r="D15" s="9">
        <v>46030</v>
      </c>
      <c r="E15" s="10">
        <v>46035</v>
      </c>
      <c r="F15" s="7">
        <f t="shared" si="0"/>
        <v>5</v>
      </c>
      <c r="G15" s="7" t="s">
        <v>10</v>
      </c>
      <c r="H15" s="11">
        <v>24019</v>
      </c>
      <c r="I15" s="7" t="str">
        <f t="shared" si="1"/>
        <v>Normal</v>
      </c>
    </row>
    <row r="16" spans="1:9">
      <c r="A16" s="7">
        <v>1015</v>
      </c>
      <c r="B16" s="7">
        <v>79</v>
      </c>
      <c r="C16" s="8">
        <v>95</v>
      </c>
      <c r="D16" s="9">
        <v>46029</v>
      </c>
      <c r="E16" s="10">
        <v>46032</v>
      </c>
      <c r="F16" s="7">
        <f t="shared" si="0"/>
        <v>3</v>
      </c>
      <c r="G16" s="7" t="s">
        <v>9</v>
      </c>
      <c r="H16" s="11">
        <v>12285</v>
      </c>
      <c r="I16" s="7" t="str">
        <f t="shared" si="1"/>
        <v>Normal</v>
      </c>
    </row>
    <row r="17" spans="1:9">
      <c r="A17" s="7">
        <v>1016</v>
      </c>
      <c r="B17" s="7">
        <v>77</v>
      </c>
      <c r="C17" s="8">
        <v>230</v>
      </c>
      <c r="D17" s="9">
        <v>46034</v>
      </c>
      <c r="E17" s="10">
        <v>46039</v>
      </c>
      <c r="F17" s="7">
        <f t="shared" si="0"/>
        <v>5</v>
      </c>
      <c r="G17" s="7" t="s">
        <v>11</v>
      </c>
      <c r="H17" s="11">
        <v>31045</v>
      </c>
      <c r="I17" s="7" t="str">
        <f t="shared" si="1"/>
        <v>HIGH RISK</v>
      </c>
    </row>
    <row r="18" spans="1:9">
      <c r="A18" s="7">
        <v>1017</v>
      </c>
      <c r="B18" s="7">
        <v>46</v>
      </c>
      <c r="C18" s="8">
        <v>80</v>
      </c>
      <c r="D18" s="9">
        <v>46032</v>
      </c>
      <c r="E18" s="10">
        <v>46035</v>
      </c>
      <c r="F18" s="7">
        <f t="shared" si="0"/>
        <v>3</v>
      </c>
      <c r="G18" s="7" t="s">
        <v>10</v>
      </c>
      <c r="H18" s="11">
        <v>62291</v>
      </c>
      <c r="I18" s="7" t="str">
        <f t="shared" si="1"/>
        <v>Normal</v>
      </c>
    </row>
    <row r="19" spans="1:9">
      <c r="A19" s="7">
        <v>1018</v>
      </c>
      <c r="B19" s="7">
        <v>72</v>
      </c>
      <c r="C19" s="8">
        <v>164</v>
      </c>
      <c r="D19" s="9">
        <v>46028</v>
      </c>
      <c r="E19" s="10">
        <v>46038</v>
      </c>
      <c r="F19" s="7">
        <f t="shared" si="0"/>
        <v>10</v>
      </c>
      <c r="G19" s="7" t="s">
        <v>9</v>
      </c>
      <c r="H19" s="11">
        <v>73381</v>
      </c>
      <c r="I19" s="7" t="str">
        <f t="shared" si="1"/>
        <v>HIGH RISK</v>
      </c>
    </row>
    <row r="20" spans="1:9">
      <c r="A20" s="7">
        <v>1019</v>
      </c>
      <c r="B20" s="7">
        <v>42</v>
      </c>
      <c r="C20" s="8">
        <v>114</v>
      </c>
      <c r="D20" s="9">
        <v>46023</v>
      </c>
      <c r="E20" s="10">
        <v>46031</v>
      </c>
      <c r="F20" s="7">
        <f t="shared" si="0"/>
        <v>8</v>
      </c>
      <c r="G20" s="7" t="s">
        <v>10</v>
      </c>
      <c r="H20" s="11">
        <v>71864</v>
      </c>
      <c r="I20" s="7" t="str">
        <f t="shared" si="1"/>
        <v>Normal</v>
      </c>
    </row>
    <row r="21" spans="1:9">
      <c r="A21" s="7">
        <v>1020</v>
      </c>
      <c r="B21" s="7">
        <v>51</v>
      </c>
      <c r="C21" s="8">
        <v>141</v>
      </c>
      <c r="D21" s="9">
        <v>46026</v>
      </c>
      <c r="E21" s="10">
        <v>46030</v>
      </c>
      <c r="F21" s="7">
        <f t="shared" si="0"/>
        <v>4</v>
      </c>
      <c r="G21" s="7" t="s">
        <v>11</v>
      </c>
      <c r="H21" s="11">
        <v>46584</v>
      </c>
      <c r="I21" s="7" t="str">
        <f t="shared" si="1"/>
        <v>HIGH RISK</v>
      </c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</sheetData>
  <conditionalFormatting sqref="C2:C21">
    <cfRule type="cellIs" dxfId="0" priority="1" operator="greaterThan">
      <formula>140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5BAD4-B24E-4C64-909F-4C190B58DD16}">
  <sheetPr>
    <pageSetUpPr fitToPage="1"/>
  </sheetPr>
  <dimension ref="B2:D6"/>
  <sheetViews>
    <sheetView showGridLines="0" zoomScaleNormal="100" workbookViewId="0">
      <selection activeCell="H10" sqref="H10"/>
    </sheetView>
  </sheetViews>
  <sheetFormatPr defaultColWidth="11.88671875" defaultRowHeight="14.4"/>
  <cols>
    <col min="1" max="1" width="23.77734375" customWidth="1"/>
  </cols>
  <sheetData>
    <row r="2" spans="2:4">
      <c r="B2" s="5" t="s">
        <v>12</v>
      </c>
      <c r="C2" s="5"/>
      <c r="D2" s="5"/>
    </row>
    <row r="3" spans="2:4">
      <c r="B3" s="4">
        <f>AVERAGE(Patient_Data!F2:F21)</f>
        <v>5.6</v>
      </c>
      <c r="C3" s="4"/>
      <c r="D3" s="4"/>
    </row>
    <row r="5" spans="2:4">
      <c r="B5" s="5" t="s">
        <v>13</v>
      </c>
      <c r="C5" s="5"/>
      <c r="D5" s="5"/>
    </row>
    <row r="6" spans="2:4">
      <c r="B6" s="6">
        <f>SUM(Patient_Data!H2:H21)</f>
        <v>788693</v>
      </c>
      <c r="C6" s="6"/>
      <c r="D6" s="6"/>
    </row>
  </sheetData>
  <mergeCells count="4">
    <mergeCell ref="B2:D2"/>
    <mergeCell ref="B3:D3"/>
    <mergeCell ref="B5:D5"/>
    <mergeCell ref="B6:D6"/>
  </mergeCells>
  <pageMargins left="0.7" right="0.7" top="0.75" bottom="0.75" header="0.3" footer="0.3"/>
  <pageSetup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Patient_Data</vt:lpstr>
      <vt:lpstr>Execution_Dashboard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 B</dc:creator>
  <cp:lastModifiedBy>Arya B</cp:lastModifiedBy>
  <cp:lastPrinted>2026-06-14T02:46:31Z</cp:lastPrinted>
  <dcterms:created xsi:type="dcterms:W3CDTF">2026-06-13T15:03:13Z</dcterms:created>
  <dcterms:modified xsi:type="dcterms:W3CDTF">2026-06-14T02:50:55Z</dcterms:modified>
</cp:coreProperties>
</file>